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icto\OneDrive\Desktop\"/>
    </mc:Choice>
  </mc:AlternateContent>
  <xr:revisionPtr revIDLastSave="0" documentId="13_ncr:1_{1EB50ACA-3E80-45B7-A56D-A9D9C60ADA5E}" xr6:coauthVersionLast="47" xr6:coauthVersionMax="47" xr10:uidLastSave="{00000000-0000-0000-0000-000000000000}"/>
  <bookViews>
    <workbookView xWindow="-120" yWindow="-120" windowWidth="29040" windowHeight="15720" activeTab="1" xr2:uid="{4946304E-808B-4F57-9620-AE781020ABA9}"/>
  </bookViews>
  <sheets>
    <sheet name="PropiedadesAgua" sheetId="2" r:id="rId1"/>
    <sheet name="TuberiaData" sheetId="1" r:id="rId2"/>
    <sheet name="Rugosidad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2" i="1"/>
</calcChain>
</file>

<file path=xl/sharedStrings.xml><?xml version="1.0" encoding="utf-8"?>
<sst xmlns="http://schemas.openxmlformats.org/spreadsheetml/2006/main" count="21" uniqueCount="21">
  <si>
    <t>Nombre</t>
  </si>
  <si>
    <t>Diametro_m</t>
  </si>
  <si>
    <t>Area_m2</t>
  </si>
  <si>
    <t>TUBERIA PVC 1/2"</t>
  </si>
  <si>
    <t>TUBERIA PVC 3/4"</t>
  </si>
  <si>
    <t>TUBERIA PVC 1"</t>
  </si>
  <si>
    <t>TUBERIA FG 1/2"</t>
  </si>
  <si>
    <t>TUBERIA FG 3/4"</t>
  </si>
  <si>
    <t>TUBERIA FG 1"</t>
  </si>
  <si>
    <t>TUBERIA HDPE 1/2"</t>
  </si>
  <si>
    <t>TUBERIA HDPE 3/4"</t>
  </si>
  <si>
    <t>TUBERIA HDPE 1"</t>
  </si>
  <si>
    <t>Temp</t>
  </si>
  <si>
    <t>Visc_Cinem</t>
  </si>
  <si>
    <t>Densidad</t>
  </si>
  <si>
    <t>Visc_Dinam</t>
  </si>
  <si>
    <t>PVC</t>
  </si>
  <si>
    <t>FG</t>
  </si>
  <si>
    <t>HDPE</t>
  </si>
  <si>
    <t>Material</t>
  </si>
  <si>
    <t>Rugosidad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</si>
</sst>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0E+00"/>
    <numFmt numFmtId="166" formatCode="0.0000000000"/>
    <numFmt numFmtId="167" formatCode="0.0000000"/>
  </numFmts>
  <fonts count="6" x14ac:knownFonts="1">
    <font>
      <sz val="11"/>
      <color theme="1"/>
      <name val="Century Gothic"/>
      <family val="2"/>
      <scheme val="minor"/>
    </font>
    <font>
      <sz val="10"/>
      <color theme="1"/>
      <name val="Arial Unicode MS"/>
      <family val="2"/>
    </font>
    <font>
      <sz val="10"/>
      <color theme="1"/>
      <name val="Century Gothic"/>
      <family val="2"/>
      <scheme val="minor"/>
    </font>
    <font>
      <sz val="10"/>
      <name val="Century Gothic"/>
      <family val="2"/>
      <scheme val="minor"/>
    </font>
    <font>
      <sz val="8"/>
      <name val="Century Gothic"/>
      <family val="2"/>
      <scheme val="minor"/>
    </font>
    <font>
      <u/>
      <sz val="11"/>
      <color theme="1"/>
      <name val="Century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64" fontId="0" fillId="0" borderId="0" xfId="0" applyNumberFormat="1"/>
    <xf numFmtId="11" fontId="0" fillId="0" borderId="0" xfId="0" applyNumberFormat="1"/>
    <xf numFmtId="165" fontId="3" fillId="0" borderId="0" xfId="0" applyNumberFormat="1" applyFont="1" applyAlignment="1">
      <alignment horizontal="center" vertical="center" wrapText="1"/>
    </xf>
    <xf numFmtId="165" fontId="0" fillId="0" borderId="0" xfId="0" applyNumberFormat="1"/>
    <xf numFmtId="0" fontId="5" fillId="0" borderId="0" xfId="0" applyFont="1"/>
    <xf numFmtId="1" fontId="2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 wrapText="1"/>
    </xf>
    <xf numFmtId="167" fontId="3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itable">
  <a:themeElements>
    <a:clrScheme name="Citable">
      <a:dk1>
        <a:sysClr val="windowText" lastClr="000000"/>
      </a:dk1>
      <a:lt1>
        <a:sysClr val="window" lastClr="FFFFFF"/>
      </a:lt1>
      <a:dk2>
        <a:srgbClr val="212121"/>
      </a:dk2>
      <a:lt2>
        <a:srgbClr val="636363"/>
      </a:lt2>
      <a:accent1>
        <a:srgbClr val="00C6BB"/>
      </a:accent1>
      <a:accent2>
        <a:srgbClr val="6FEBA0"/>
      </a:accent2>
      <a:accent3>
        <a:srgbClr val="B6DF5E"/>
      </a:accent3>
      <a:accent4>
        <a:srgbClr val="EFB251"/>
      </a:accent4>
      <a:accent5>
        <a:srgbClr val="EF755F"/>
      </a:accent5>
      <a:accent6>
        <a:srgbClr val="ED515C"/>
      </a:accent6>
      <a:hlink>
        <a:srgbClr val="8F8F8F"/>
      </a:hlink>
      <a:folHlink>
        <a:srgbClr val="A5A5A5"/>
      </a:folHlink>
    </a:clrScheme>
    <a:fontScheme name="Citable">
      <a:maj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Citable">
      <a:fillStyleLst>
        <a:solidFill>
          <a:schemeClr val="phClr"/>
        </a:solidFill>
        <a:gradFill rotWithShape="1">
          <a:gsLst>
            <a:gs pos="0">
              <a:schemeClr val="phClr">
                <a:tint val="80000"/>
                <a:lumMod val="105000"/>
              </a:schemeClr>
            </a:gs>
            <a:gs pos="100000">
              <a:schemeClr val="phClr">
                <a:tint val="90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98000"/>
                <a:lumMod val="102000"/>
              </a:schemeClr>
              <a:schemeClr val="phClr">
                <a:shade val="98000"/>
                <a:lumMod val="98000"/>
              </a:schemeClr>
            </a:duotone>
          </a:blip>
          <a:tile tx="0" ty="0" sx="100000" sy="100000" flip="none" algn="tl"/>
        </a:blipFill>
      </a:fillStyleLst>
      <a:lnStyleLst>
        <a:ln w="9525" cap="rnd" cmpd="sng" algn="ctr">
          <a:solidFill>
            <a:schemeClr val="phClr"/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63500" dist="25400" dir="13500000">
              <a:srgbClr val="000000">
                <a:alpha val="75000"/>
              </a:srgbClr>
            </a:inn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100000"/>
              </a:schemeClr>
            </a:gs>
            <a:gs pos="100000">
              <a:schemeClr val="phClr">
                <a:tint val="84000"/>
                <a:shade val="84000"/>
                <a:lumMod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90000"/>
                <a:satMod val="120000"/>
                <a:lumMod val="90000"/>
              </a:schemeClr>
            </a:gs>
            <a:gs pos="100000">
              <a:schemeClr val="phClr"/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Quotable" id="{39EC5628-30ED-4578-ACD8-9820EDB8E15A}" vid="{6F3559E9-1A4C-49D8-94D4-F41003531C49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DD00A-F079-4DED-BBD0-593E59863DD3}">
  <dimension ref="A1:H19"/>
  <sheetViews>
    <sheetView zoomScale="160" zoomScaleNormal="160" workbookViewId="0">
      <selection activeCell="C9" sqref="C9"/>
    </sheetView>
  </sheetViews>
  <sheetFormatPr baseColWidth="10" defaultRowHeight="16.5" x14ac:dyDescent="0.3"/>
  <cols>
    <col min="2" max="2" width="28.375" customWidth="1"/>
    <col min="5" max="5" width="23.875" customWidth="1"/>
  </cols>
  <sheetData>
    <row r="1" spans="1:8" x14ac:dyDescent="0.3">
      <c r="A1" t="s">
        <v>12</v>
      </c>
      <c r="B1" t="s">
        <v>13</v>
      </c>
      <c r="C1" t="s">
        <v>14</v>
      </c>
      <c r="D1" t="s">
        <v>15</v>
      </c>
    </row>
    <row r="2" spans="1:8" x14ac:dyDescent="0.3">
      <c r="A2" s="7">
        <v>0</v>
      </c>
      <c r="B2" s="8">
        <v>1.75E-6</v>
      </c>
      <c r="C2" s="9">
        <v>1000</v>
      </c>
      <c r="D2" s="10">
        <v>1.781E-3</v>
      </c>
    </row>
    <row r="3" spans="1:8" x14ac:dyDescent="0.3">
      <c r="A3" s="7">
        <v>5</v>
      </c>
      <c r="B3" s="8">
        <v>1.5200000000000001E-6</v>
      </c>
      <c r="C3" s="9">
        <v>1000</v>
      </c>
      <c r="D3" s="10">
        <v>1.518E-3</v>
      </c>
    </row>
    <row r="4" spans="1:8" x14ac:dyDescent="0.3">
      <c r="A4" s="7">
        <v>10</v>
      </c>
      <c r="B4" s="8">
        <v>1.3E-6</v>
      </c>
      <c r="C4" s="9">
        <v>1000</v>
      </c>
      <c r="D4" s="10">
        <v>1.307E-3</v>
      </c>
      <c r="E4" s="3"/>
    </row>
    <row r="5" spans="1:8" x14ac:dyDescent="0.3">
      <c r="A5" s="7">
        <v>15</v>
      </c>
      <c r="B5" s="8">
        <v>1.15E-6</v>
      </c>
      <c r="C5" s="9">
        <v>1000</v>
      </c>
      <c r="D5" s="10">
        <v>1.139E-3</v>
      </c>
    </row>
    <row r="6" spans="1:8" x14ac:dyDescent="0.3">
      <c r="A6" s="7">
        <v>20</v>
      </c>
      <c r="B6" s="8">
        <v>1.02E-6</v>
      </c>
      <c r="C6" s="9">
        <v>998</v>
      </c>
      <c r="D6" s="10">
        <v>1.1019999999999999E-3</v>
      </c>
    </row>
    <row r="7" spans="1:8" x14ac:dyDescent="0.3">
      <c r="A7" s="7">
        <v>25</v>
      </c>
      <c r="B7" s="8">
        <v>8.9400000000000004E-7</v>
      </c>
      <c r="C7" s="9">
        <v>997</v>
      </c>
      <c r="D7" s="10">
        <v>8.8999999999999995E-4</v>
      </c>
    </row>
    <row r="8" spans="1:8" x14ac:dyDescent="0.3">
      <c r="A8" s="7">
        <v>30</v>
      </c>
      <c r="B8" s="8">
        <v>8.0299999999999998E-7</v>
      </c>
      <c r="C8" s="9">
        <v>996</v>
      </c>
      <c r="D8" s="10">
        <v>7.0799999999999997E-4</v>
      </c>
    </row>
    <row r="9" spans="1:8" x14ac:dyDescent="0.3">
      <c r="A9" s="7">
        <v>40</v>
      </c>
      <c r="B9" s="8">
        <v>6.5600000000000005E-7</v>
      </c>
      <c r="C9" s="9">
        <v>992</v>
      </c>
      <c r="D9" s="10">
        <v>6.5300000000000004E-4</v>
      </c>
    </row>
    <row r="10" spans="1:8" x14ac:dyDescent="0.3">
      <c r="A10" s="7">
        <v>50</v>
      </c>
      <c r="B10" s="8">
        <v>5.4799999999999998E-7</v>
      </c>
      <c r="C10" s="9">
        <v>988</v>
      </c>
      <c r="D10" s="10">
        <v>5.4699999999999996E-4</v>
      </c>
      <c r="G10" s="5"/>
    </row>
    <row r="11" spans="1:8" x14ac:dyDescent="0.3">
      <c r="A11" s="7">
        <v>60</v>
      </c>
      <c r="B11" s="8">
        <v>4.6699999999999999E-7</v>
      </c>
      <c r="C11" s="9">
        <v>984</v>
      </c>
      <c r="D11" s="10">
        <v>4.66E-4</v>
      </c>
    </row>
    <row r="12" spans="1:8" x14ac:dyDescent="0.3">
      <c r="A12" s="7">
        <v>70</v>
      </c>
      <c r="B12" s="8">
        <v>4.1100000000000001E-7</v>
      </c>
      <c r="C12" s="9">
        <v>978</v>
      </c>
      <c r="D12" s="10">
        <v>4.0400000000000001E-4</v>
      </c>
    </row>
    <row r="13" spans="1:8" x14ac:dyDescent="0.3">
      <c r="A13" s="7">
        <v>80</v>
      </c>
      <c r="B13" s="8">
        <v>3.5999999999999999E-7</v>
      </c>
      <c r="C13" s="9">
        <v>971</v>
      </c>
      <c r="D13" s="10">
        <v>3.5399999999999999E-4</v>
      </c>
    </row>
    <row r="14" spans="1:8" x14ac:dyDescent="0.3">
      <c r="A14" s="7">
        <v>90</v>
      </c>
      <c r="B14" s="8">
        <v>3.22E-7</v>
      </c>
      <c r="C14" s="9">
        <v>965</v>
      </c>
      <c r="D14" s="10">
        <v>3.1500000000000001E-4</v>
      </c>
      <c r="H14" s="6"/>
    </row>
    <row r="15" spans="1:8" x14ac:dyDescent="0.3">
      <c r="A15" s="7">
        <v>100</v>
      </c>
      <c r="B15" s="8">
        <v>2.9400000000000001E-7</v>
      </c>
      <c r="C15" s="9">
        <v>958</v>
      </c>
      <c r="D15" s="10">
        <v>2.8200000000000002E-4</v>
      </c>
    </row>
    <row r="16" spans="1:8" x14ac:dyDescent="0.3">
      <c r="B16" s="4"/>
    </row>
    <row r="17" spans="2:6" x14ac:dyDescent="0.3">
      <c r="B17" s="4"/>
      <c r="F17" s="6"/>
    </row>
    <row r="18" spans="2:6" x14ac:dyDescent="0.3">
      <c r="B18" s="4"/>
    </row>
    <row r="19" spans="2:6" x14ac:dyDescent="0.3">
      <c r="B19" s="4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BE60F-005F-43D4-92C1-B89A902BA3E4}">
  <dimension ref="A1:C10"/>
  <sheetViews>
    <sheetView tabSelected="1" workbookViewId="0">
      <selection activeCell="E21" sqref="E21"/>
    </sheetView>
  </sheetViews>
  <sheetFormatPr baseColWidth="10" defaultRowHeight="16.5" x14ac:dyDescent="0.3"/>
  <cols>
    <col min="1" max="1" width="37.5" customWidth="1"/>
    <col min="2" max="2" width="22" customWidth="1"/>
  </cols>
  <sheetData>
    <row r="1" spans="1:3" x14ac:dyDescent="0.3">
      <c r="A1" s="1" t="s">
        <v>0</v>
      </c>
      <c r="B1" t="s">
        <v>1</v>
      </c>
      <c r="C1" t="s">
        <v>2</v>
      </c>
    </row>
    <row r="2" spans="1:3" x14ac:dyDescent="0.3">
      <c r="A2" t="s">
        <v>3</v>
      </c>
      <c r="B2" s="2">
        <v>1.7399999999999999E-2</v>
      </c>
      <c r="C2" s="2">
        <f>(PI()*(B2)^2)/4</f>
        <v>2.377871479502114E-4</v>
      </c>
    </row>
    <row r="3" spans="1:3" x14ac:dyDescent="0.3">
      <c r="A3" t="s">
        <v>4</v>
      </c>
      <c r="B3" s="2">
        <v>2.29E-2</v>
      </c>
      <c r="C3" s="2">
        <f t="shared" ref="C3:C10" si="0">(PI()*(B3)^2)/4</f>
        <v>4.1187065086725587E-4</v>
      </c>
    </row>
    <row r="4" spans="1:3" x14ac:dyDescent="0.3">
      <c r="A4" t="s">
        <v>5</v>
      </c>
      <c r="B4" s="2">
        <v>2.9399999999999999E-2</v>
      </c>
      <c r="C4" s="2">
        <f t="shared" si="0"/>
        <v>6.7886675651421843E-4</v>
      </c>
    </row>
    <row r="5" spans="1:3" x14ac:dyDescent="0.3">
      <c r="A5" t="s">
        <v>6</v>
      </c>
      <c r="B5" s="2">
        <v>1.7079999999999998E-2</v>
      </c>
      <c r="C5" s="2">
        <f t="shared" si="0"/>
        <v>2.2912137877454931E-4</v>
      </c>
    </row>
    <row r="6" spans="1:3" x14ac:dyDescent="0.3">
      <c r="A6" t="s">
        <v>7</v>
      </c>
      <c r="B6" s="2">
        <v>2.248E-2</v>
      </c>
      <c r="C6" s="2">
        <f t="shared" si="0"/>
        <v>3.9690127603216589E-4</v>
      </c>
    </row>
    <row r="7" spans="1:3" x14ac:dyDescent="0.3">
      <c r="A7" t="s">
        <v>8</v>
      </c>
      <c r="B7" s="2">
        <v>2.7859999999999999E-2</v>
      </c>
      <c r="C7" s="2">
        <f t="shared" si="0"/>
        <v>6.0961003230656607E-4</v>
      </c>
    </row>
    <row r="8" spans="1:3" x14ac:dyDescent="0.3">
      <c r="A8" t="s">
        <v>9</v>
      </c>
      <c r="B8" s="2">
        <v>1.6199999999999999E-2</v>
      </c>
      <c r="C8" s="2">
        <f t="shared" si="0"/>
        <v>2.0611989400202629E-4</v>
      </c>
    </row>
    <row r="9" spans="1:3" x14ac:dyDescent="0.3">
      <c r="A9" t="s">
        <v>10</v>
      </c>
      <c r="B9" s="2">
        <v>2.06E-2</v>
      </c>
      <c r="C9" s="2">
        <f t="shared" si="0"/>
        <v>3.3329156461934118E-4</v>
      </c>
    </row>
    <row r="10" spans="1:3" x14ac:dyDescent="0.3">
      <c r="A10" t="s">
        <v>11</v>
      </c>
      <c r="B10" s="2">
        <v>2.6199999999999998E-2</v>
      </c>
      <c r="C10" s="2">
        <f t="shared" si="0"/>
        <v>5.3912871528254429E-4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1C54-6F92-4AE5-AE7C-79990FF069F8}">
  <dimension ref="A1:B4"/>
  <sheetViews>
    <sheetView workbookViewId="0">
      <selection activeCell="C14" sqref="C14"/>
    </sheetView>
  </sheetViews>
  <sheetFormatPr baseColWidth="10" defaultRowHeight="16.5" x14ac:dyDescent="0.3"/>
  <cols>
    <col min="1" max="1" width="39.125" customWidth="1"/>
    <col min="2" max="2" width="26.25" customWidth="1"/>
  </cols>
  <sheetData>
    <row r="1" spans="1:2" x14ac:dyDescent="0.3">
      <c r="A1" t="s">
        <v>19</v>
      </c>
      <c r="B1" t="s">
        <v>20</v>
      </c>
    </row>
    <row r="2" spans="1:2" x14ac:dyDescent="0.3">
      <c r="A2" t="s">
        <v>16</v>
      </c>
      <c r="B2">
        <v>1.5E-6</v>
      </c>
    </row>
    <row r="3" spans="1:2" x14ac:dyDescent="0.3">
      <c r="A3" t="s">
        <v>17</v>
      </c>
      <c r="B3">
        <v>1.4999999999999999E-4</v>
      </c>
    </row>
    <row r="4" spans="1:2" x14ac:dyDescent="0.3">
      <c r="A4" t="s">
        <v>18</v>
      </c>
      <c r="B4">
        <v>1.4999999999999999E-4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PropiedadesAgua</vt:lpstr>
      <vt:lpstr>TuberiaData</vt:lpstr>
      <vt:lpstr>Rugosidad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RAUL CONDORI BUSTINCIO</dc:creator>
  <cp:lastModifiedBy>VICTOR RAUL CONDORI BUSTINCIO</cp:lastModifiedBy>
  <dcterms:created xsi:type="dcterms:W3CDTF">2026-04-18T17:50:22Z</dcterms:created>
  <dcterms:modified xsi:type="dcterms:W3CDTF">2026-04-18T22:18:41Z</dcterms:modified>
</cp:coreProperties>
</file>